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28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shsriv/Desktop/Simulations Codes/"/>
    </mc:Choice>
  </mc:AlternateContent>
  <xr:revisionPtr revIDLastSave="0" documentId="8_{075811F1-7588-5C42-BF8C-8F9E2723E97B}" xr6:coauthVersionLast="47" xr6:coauthVersionMax="47" xr10:uidLastSave="{00000000-0000-0000-0000-000000000000}"/>
  <bookViews>
    <workbookView xWindow="0" yWindow="740" windowWidth="29400" windowHeight="14020" tabRatio="918" xr2:uid="{00000000-000D-0000-FFFF-FFFF00000000}"/>
  </bookViews>
  <sheets>
    <sheet name="FTI2" sheetId="22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22" l="1"/>
  <c r="H14" i="22"/>
  <c r="H16" i="22"/>
  <c r="I16" i="22"/>
  <c r="J16" i="22"/>
  <c r="K16" i="22"/>
  <c r="L16" i="22"/>
  <c r="L15" i="22"/>
  <c r="J15" i="22"/>
  <c r="I15" i="22"/>
  <c r="H15" i="22"/>
  <c r="L14" i="22"/>
  <c r="K14" i="22"/>
  <c r="J14" i="22"/>
  <c r="I14" i="22"/>
  <c r="H6" i="22"/>
  <c r="H7" i="22" s="1"/>
</calcChain>
</file>

<file path=xl/sharedStrings.xml><?xml version="1.0" encoding="utf-8"?>
<sst xmlns="http://schemas.openxmlformats.org/spreadsheetml/2006/main" count="26" uniqueCount="25">
  <si>
    <t>Sign IN</t>
  </si>
  <si>
    <t>Registration</t>
  </si>
  <si>
    <t>Examination</t>
  </si>
  <si>
    <t>Trauma</t>
  </si>
  <si>
    <t>Treatment</t>
  </si>
  <si>
    <t>No. of Staffs &gt;</t>
  </si>
  <si>
    <t xml:space="preserve">INPUT </t>
  </si>
  <si>
    <t>Load &gt;</t>
  </si>
  <si>
    <t>Arrival Rate &gt;</t>
  </si>
  <si>
    <t>Trauma Percen &gt;</t>
  </si>
  <si>
    <t>MeanArrival</t>
  </si>
  <si>
    <t>OUTPUT</t>
  </si>
  <si>
    <t>Station &gt;</t>
  </si>
  <si>
    <t>Mean</t>
  </si>
  <si>
    <t>95% CI half width (normal)</t>
  </si>
  <si>
    <t>95% CI half width (t)</t>
  </si>
  <si>
    <t>Avg Wait SignIn</t>
  </si>
  <si>
    <t>Avg Waiting Treat</t>
  </si>
  <si>
    <t>Avg Wait Traum</t>
  </si>
  <si>
    <t>Avg Wait Exami</t>
  </si>
  <si>
    <t>Avg Wait Regis</t>
  </si>
  <si>
    <t>Avg Wait Registration</t>
  </si>
  <si>
    <t>Avg Wait Examination</t>
  </si>
  <si>
    <t>Avg Wait Trauma</t>
  </si>
  <si>
    <t>Avg Wait Treatment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</si>
</sst>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0"/>
      <name val="Arial"/>
    </font>
    <font>
      <sz val="10"/>
      <name val="Arial"/>
      <family val="2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0" fillId="2" borderId="1" xfId="0" applyFill="1" applyBorder="1"/>
    <xf numFmtId="0" fontId="1" fillId="3" borderId="1" xfId="0" applyFont="1" applyFill="1" applyBorder="1"/>
    <xf numFmtId="0" fontId="0" fillId="3" borderId="1" xfId="0" applyFill="1" applyBorder="1"/>
    <xf numFmtId="0" fontId="1" fillId="3" borderId="2" xfId="0" applyFont="1" applyFill="1" applyBorder="1"/>
    <xf numFmtId="2" fontId="0" fillId="0" borderId="0" xfId="0" applyNumberFormat="1"/>
    <xf numFmtId="2" fontId="1" fillId="0" borderId="0" xfId="0" applyNumberFormat="1" applyFont="1"/>
    <xf numFmtId="164" fontId="0" fillId="3" borderId="1" xfId="0" applyNumberFormat="1" applyFill="1" applyBorder="1"/>
    <xf numFmtId="0" fontId="1" fillId="4" borderId="1" xfId="0" applyFont="1" applyFill="1" applyBorder="1"/>
    <xf numFmtId="0" fontId="1" fillId="0" borderId="1" xfId="0" applyFont="1" applyBorder="1"/>
    <xf numFmtId="2" fontId="0" fillId="0" borderId="1" xfId="0" applyNumberFormat="1" applyBorder="1"/>
    <xf numFmtId="0" fontId="1" fillId="4" borderId="2" xfId="0" applyFont="1" applyFill="1" applyBorder="1"/>
    <xf numFmtId="0" fontId="0" fillId="0" borderId="2" xfId="0" applyBorder="1"/>
    <xf numFmtId="0" fontId="1" fillId="0" borderId="0" xfId="0" applyFont="1" applyFill="1" applyBorder="1"/>
    <xf numFmtId="2" fontId="0" fillId="0" borderId="0" xfId="0" applyNumberFormat="1" applyFill="1" applyBorder="1"/>
    <xf numFmtId="0" fontId="0" fillId="0" borderId="0" xfId="0" applyFill="1" applyBorder="1"/>
    <xf numFmtId="0" fontId="1" fillId="0" borderId="2" xfId="0" applyFont="1" applyBorder="1"/>
    <xf numFmtId="2" fontId="1" fillId="0" borderId="0" xfId="0" applyNumberFormat="1" applyFont="1" applyFill="1" applyBorder="1"/>
    <xf numFmtId="0" fontId="1" fillId="4" borderId="3" xfId="0" applyFont="1" applyFill="1" applyBorder="1"/>
    <xf numFmtId="0" fontId="0" fillId="0" borderId="3" xfId="0" applyBorder="1"/>
    <xf numFmtId="2" fontId="0" fillId="0" borderId="3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1</xdr:row>
          <xdr:rowOff>0</xdr:rowOff>
        </xdr:from>
        <xdr:to>
          <xdr:col>16</xdr:col>
          <xdr:colOff>0</xdr:colOff>
          <xdr:row>6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1"/>
  <sheetViews>
    <sheetView tabSelected="1" workbookViewId="0">
      <selection activeCell="K22" sqref="K22"/>
    </sheetView>
  </sheetViews>
  <sheetFormatPr baseColWidth="10" defaultColWidth="8.83203125" defaultRowHeight="13" x14ac:dyDescent="0.15"/>
  <cols>
    <col min="1" max="1" width="15.83203125" style="7" bestFit="1" customWidth="1"/>
    <col min="2" max="2" width="20.1640625" style="7" bestFit="1" customWidth="1"/>
    <col min="3" max="3" width="20.5" style="7" bestFit="1" customWidth="1"/>
    <col min="4" max="4" width="16.83203125" style="7" bestFit="1" customWidth="1"/>
    <col min="5" max="5" width="18.83203125" style="7" bestFit="1" customWidth="1"/>
    <col min="6" max="6" width="12.6640625" bestFit="1" customWidth="1"/>
    <col min="7" max="7" width="21.6640625" bestFit="1" customWidth="1"/>
    <col min="8" max="8" width="13.5" bestFit="1" customWidth="1"/>
    <col min="9" max="9" width="12.83203125" bestFit="1" customWidth="1"/>
    <col min="10" max="10" width="13.1640625" bestFit="1" customWidth="1"/>
    <col min="11" max="11" width="13.33203125" bestFit="1" customWidth="1"/>
    <col min="12" max="12" width="14.83203125" bestFit="1" customWidth="1"/>
  </cols>
  <sheetData>
    <row r="1" spans="1:12" x14ac:dyDescent="0.15">
      <c r="A1" s="8" t="s">
        <v>16</v>
      </c>
      <c r="B1" s="8" t="s">
        <v>21</v>
      </c>
      <c r="C1" s="8" t="s">
        <v>22</v>
      </c>
      <c r="D1" s="8" t="s">
        <v>23</v>
      </c>
      <c r="E1" s="7" t="s">
        <v>24</v>
      </c>
      <c r="G1" s="2" t="s">
        <v>6</v>
      </c>
    </row>
    <row r="2" spans="1:12" x14ac:dyDescent="0.15">
      <c r="A2" s="7">
        <v>6.607607119884678</v>
      </c>
      <c r="B2" s="7">
        <v>22.049612325716826</v>
      </c>
      <c r="C2" s="7">
        <v>15.955541729841514</v>
      </c>
      <c r="D2" s="7">
        <v>3.0344028257465916</v>
      </c>
      <c r="E2" s="7">
        <v>0.39005824316210241</v>
      </c>
      <c r="G2" s="2" t="s">
        <v>12</v>
      </c>
      <c r="H2" s="2" t="s">
        <v>0</v>
      </c>
      <c r="I2" s="2" t="s">
        <v>1</v>
      </c>
      <c r="J2" s="2" t="s">
        <v>2</v>
      </c>
      <c r="K2" s="2" t="s">
        <v>3</v>
      </c>
      <c r="L2" s="2" t="s">
        <v>4</v>
      </c>
    </row>
    <row r="3" spans="1:12" x14ac:dyDescent="0.15">
      <c r="A3" s="7">
        <v>2.3534121650169118</v>
      </c>
      <c r="B3" s="7">
        <v>20.999316373187074</v>
      </c>
      <c r="C3" s="7">
        <v>12.08282898522206</v>
      </c>
      <c r="D3" s="7">
        <v>0</v>
      </c>
      <c r="E3" s="7">
        <v>0</v>
      </c>
      <c r="G3" s="2" t="s">
        <v>5</v>
      </c>
      <c r="H3" s="3">
        <v>1</v>
      </c>
      <c r="I3" s="3">
        <v>1</v>
      </c>
      <c r="J3" s="3">
        <v>3</v>
      </c>
      <c r="K3" s="3">
        <v>3</v>
      </c>
      <c r="L3" s="3">
        <v>5</v>
      </c>
    </row>
    <row r="4" spans="1:12" x14ac:dyDescent="0.15">
      <c r="A4" s="7">
        <v>6.028537810070568</v>
      </c>
      <c r="B4" s="7">
        <v>16.283163949230552</v>
      </c>
      <c r="C4" s="7">
        <v>9.6544876745670187</v>
      </c>
      <c r="D4" s="7">
        <v>6.7405772274266234</v>
      </c>
      <c r="E4" s="7">
        <v>0</v>
      </c>
    </row>
    <row r="5" spans="1:12" x14ac:dyDescent="0.15">
      <c r="A5" s="7">
        <v>8.784394083245969</v>
      </c>
      <c r="B5" s="7">
        <v>22.607168430777755</v>
      </c>
      <c r="C5" s="7">
        <v>5.9965083309716816</v>
      </c>
      <c r="D5" s="7">
        <v>119.85481428893999</v>
      </c>
      <c r="E5" s="7">
        <v>0.29162342571974509</v>
      </c>
      <c r="G5" s="4" t="s">
        <v>7</v>
      </c>
      <c r="H5" s="5">
        <v>225</v>
      </c>
    </row>
    <row r="6" spans="1:12" x14ac:dyDescent="0.15">
      <c r="A6" s="7">
        <v>3.7890320301683147</v>
      </c>
      <c r="B6" s="7">
        <v>26.276459794051778</v>
      </c>
      <c r="C6" s="7">
        <v>10.109688594655177</v>
      </c>
      <c r="D6" s="7">
        <v>23.169477062798183</v>
      </c>
      <c r="E6" s="7">
        <v>6.2314679490972538E-2</v>
      </c>
      <c r="G6" s="6" t="s">
        <v>10</v>
      </c>
      <c r="H6" s="5">
        <f>1080/H5</f>
        <v>4.8</v>
      </c>
    </row>
    <row r="7" spans="1:12" x14ac:dyDescent="0.15">
      <c r="A7" s="7">
        <v>4.9747511974656229</v>
      </c>
      <c r="B7" s="7">
        <v>39.907557186417328</v>
      </c>
      <c r="C7" s="7">
        <v>16.012791405946547</v>
      </c>
      <c r="D7" s="7">
        <v>11.606237527587117</v>
      </c>
      <c r="E7" s="7">
        <v>2.1865527028668251E-2</v>
      </c>
      <c r="G7" s="6" t="s">
        <v>8</v>
      </c>
      <c r="H7" s="9">
        <f>1/H6</f>
        <v>0.20833333333333334</v>
      </c>
    </row>
    <row r="8" spans="1:12" x14ac:dyDescent="0.15">
      <c r="A8" s="7">
        <v>4.017893843394746</v>
      </c>
      <c r="B8" s="7">
        <v>14.459966017836452</v>
      </c>
      <c r="C8" s="7">
        <v>10.563480425750601</v>
      </c>
      <c r="D8" s="7">
        <v>3.131464600399442</v>
      </c>
      <c r="E8" s="7">
        <v>2.8577399763843377E-2</v>
      </c>
      <c r="G8" s="4" t="s">
        <v>9</v>
      </c>
      <c r="H8" s="5">
        <v>8</v>
      </c>
    </row>
    <row r="9" spans="1:12" x14ac:dyDescent="0.15">
      <c r="A9" s="7">
        <v>3.9844317719701934</v>
      </c>
      <c r="B9" s="7">
        <v>15.106556471876736</v>
      </c>
      <c r="C9" s="7">
        <v>16.171638817888578</v>
      </c>
      <c r="D9" s="7">
        <v>3.4154478418104759</v>
      </c>
      <c r="E9" s="7">
        <v>0</v>
      </c>
    </row>
    <row r="10" spans="1:12" x14ac:dyDescent="0.15">
      <c r="A10" s="7">
        <v>4.9390302907743306</v>
      </c>
      <c r="B10" s="7">
        <v>32.765314662322666</v>
      </c>
      <c r="C10" s="7">
        <v>7.251704156166654</v>
      </c>
      <c r="D10" s="7">
        <v>8.1812875905423894</v>
      </c>
      <c r="E10" s="7">
        <v>0</v>
      </c>
    </row>
    <row r="11" spans="1:12" x14ac:dyDescent="0.15">
      <c r="A11" s="7">
        <v>2.9230187068313351</v>
      </c>
      <c r="B11" s="7">
        <v>17.229983159085482</v>
      </c>
      <c r="C11" s="7">
        <v>4.6489941288146968</v>
      </c>
      <c r="D11" s="7">
        <v>1.3291045441830023</v>
      </c>
      <c r="E11" s="7">
        <v>1.1616017117159507</v>
      </c>
    </row>
    <row r="12" spans="1:12" x14ac:dyDescent="0.15">
      <c r="A12" s="7">
        <v>6.4984156415618948</v>
      </c>
      <c r="B12" s="7">
        <v>98.208863286031459</v>
      </c>
      <c r="C12" s="7">
        <v>24.683307182253802</v>
      </c>
      <c r="D12" s="7">
        <v>24.608079533935065</v>
      </c>
      <c r="E12" s="7">
        <v>0</v>
      </c>
    </row>
    <row r="13" spans="1:12" x14ac:dyDescent="0.15">
      <c r="A13" s="7">
        <v>8.2943074852308545</v>
      </c>
      <c r="B13" s="7">
        <v>19.842488365000488</v>
      </c>
      <c r="C13" s="7">
        <v>16.488036001967291</v>
      </c>
      <c r="D13" s="7">
        <v>8.8394670110524154E-2</v>
      </c>
      <c r="E13" s="7">
        <v>0.6225573246451751</v>
      </c>
      <c r="G13" s="10" t="s">
        <v>11</v>
      </c>
      <c r="H13" s="11" t="s">
        <v>16</v>
      </c>
      <c r="I13" s="11" t="s">
        <v>20</v>
      </c>
      <c r="J13" s="11" t="s">
        <v>19</v>
      </c>
      <c r="K13" s="11" t="s">
        <v>18</v>
      </c>
      <c r="L13" s="11" t="s">
        <v>17</v>
      </c>
    </row>
    <row r="14" spans="1:12" x14ac:dyDescent="0.15">
      <c r="A14" s="7">
        <v>5.6748895345235981</v>
      </c>
      <c r="B14" s="7">
        <v>20.184301814526613</v>
      </c>
      <c r="C14" s="7">
        <v>25.875324930975477</v>
      </c>
      <c r="D14" s="7">
        <v>7.4888629412895664</v>
      </c>
      <c r="E14" s="7">
        <v>1.0269417352879868</v>
      </c>
      <c r="G14" s="10" t="s">
        <v>13</v>
      </c>
      <c r="H14" s="12">
        <f>AVERAGE(A2:A1001)</f>
        <v>4.7616862785798295</v>
      </c>
      <c r="I14" s="12">
        <f>AVERAGE(B2:B1001)</f>
        <v>30.415032770833303</v>
      </c>
      <c r="J14" s="12">
        <f>AVERAGE(C2:C1001)</f>
        <v>18.495348852990524</v>
      </c>
      <c r="K14" s="12">
        <f>AVERAGE(D2:D1001)</f>
        <v>10.396344703461834</v>
      </c>
      <c r="L14" s="12">
        <f>AVERAGE(E1:E1001)</f>
        <v>0.13675365354726782</v>
      </c>
    </row>
    <row r="15" spans="1:12" x14ac:dyDescent="0.15">
      <c r="A15" s="7">
        <v>5.130764830237827</v>
      </c>
      <c r="B15" s="7">
        <v>19.989152590644188</v>
      </c>
      <c r="C15" s="7">
        <v>19.35300707356495</v>
      </c>
      <c r="D15" s="7">
        <v>0</v>
      </c>
      <c r="E15" s="7">
        <v>0</v>
      </c>
      <c r="G15" s="13" t="s">
        <v>14</v>
      </c>
      <c r="H15" s="14">
        <f>1.96*STDEV(A2:A1001)/SQRT(1000)</f>
        <v>0.11097889486093035</v>
      </c>
      <c r="I15" s="14">
        <f>1.96*STDEV(B2:B1001)/SQRT(1000)</f>
        <v>1.0814019412401918</v>
      </c>
      <c r="J15" s="14">
        <f>1.96*STDEV(C2:C1001)/SQRT(1000)</f>
        <v>0.78761410051091085</v>
      </c>
      <c r="K15" s="14">
        <f>1.96*STDEV(D2:D1001)/SQRT(1000)</f>
        <v>1.1694106667997577</v>
      </c>
      <c r="L15" s="18">
        <f>1.96*STDEV(E2:E1001)/SQRT(1000)</f>
        <v>1.853756091255716E-2</v>
      </c>
    </row>
    <row r="16" spans="1:12" x14ac:dyDescent="0.15">
      <c r="A16" s="7">
        <v>5.0039754838777331</v>
      </c>
      <c r="B16" s="7">
        <v>15.357686523212955</v>
      </c>
      <c r="C16" s="7">
        <v>18.090991117101208</v>
      </c>
      <c r="D16" s="7">
        <v>4.7488591877963415</v>
      </c>
      <c r="E16" s="7">
        <v>0</v>
      </c>
      <c r="G16" s="20" t="s">
        <v>15</v>
      </c>
      <c r="H16" s="22">
        <f>2.26*STDEV(A1:A1001)/SQRT(1000)</f>
        <v>0.12796546040086865</v>
      </c>
      <c r="I16" s="21">
        <f>2.26*STDEV(B1:B1001)/SQRT(1000)</f>
        <v>1.2469226465320582</v>
      </c>
      <c r="J16" s="21">
        <f>2.26*STDEV(C1:C1001)/SQRT(1000)</f>
        <v>0.90816727916053996</v>
      </c>
      <c r="K16" s="21">
        <f>2.26*STDEV(D1:D1001)/SQRT(1000)</f>
        <v>1.348402095391557</v>
      </c>
      <c r="L16" s="21">
        <f>2.26*STDEV(E1:E1001)/SQRT(1000)</f>
        <v>2.1374942684887339E-2</v>
      </c>
    </row>
    <row r="17" spans="1:12" x14ac:dyDescent="0.15">
      <c r="A17" s="7">
        <v>4.0297291952872731</v>
      </c>
      <c r="B17" s="7">
        <v>25.359876278307915</v>
      </c>
      <c r="C17" s="7">
        <v>45.985237415192451</v>
      </c>
      <c r="D17" s="7">
        <v>6.7849668290676375</v>
      </c>
      <c r="E17" s="7">
        <v>0</v>
      </c>
      <c r="G17" s="15"/>
      <c r="H17" s="16"/>
      <c r="I17" s="16"/>
      <c r="J17" s="19"/>
      <c r="K17" s="17"/>
      <c r="L17" s="17"/>
    </row>
    <row r="18" spans="1:12" x14ac:dyDescent="0.15">
      <c r="A18" s="7">
        <v>9.1888262197709096</v>
      </c>
      <c r="B18" s="7">
        <v>32.943031366061973</v>
      </c>
      <c r="C18" s="7">
        <v>6.8440827749031952</v>
      </c>
      <c r="D18" s="7">
        <v>16.611988569234533</v>
      </c>
      <c r="E18" s="7">
        <v>1.9636486282201524E-2</v>
      </c>
      <c r="G18" s="15"/>
      <c r="H18" s="17"/>
      <c r="I18" s="17"/>
      <c r="J18" s="17"/>
      <c r="K18" s="17"/>
      <c r="L18" s="17"/>
    </row>
    <row r="19" spans="1:12" x14ac:dyDescent="0.15">
      <c r="A19" s="7">
        <v>4.0588373610521309</v>
      </c>
      <c r="B19" s="7">
        <v>40.150740282470899</v>
      </c>
      <c r="C19" s="7">
        <v>14.896347145619428</v>
      </c>
      <c r="D19" s="7">
        <v>0</v>
      </c>
      <c r="E19" s="7">
        <v>0</v>
      </c>
      <c r="G19" s="15"/>
      <c r="H19" s="17"/>
      <c r="I19" s="17"/>
      <c r="J19" s="17"/>
      <c r="K19" s="17"/>
      <c r="L19" s="17"/>
    </row>
    <row r="20" spans="1:12" x14ac:dyDescent="0.15">
      <c r="A20" s="7">
        <v>3.2949321719569546</v>
      </c>
      <c r="B20" s="7">
        <v>19.561224924402161</v>
      </c>
      <c r="C20" s="7">
        <v>17.289263646305368</v>
      </c>
      <c r="D20" s="7">
        <v>0.61405169772190216</v>
      </c>
      <c r="E20" s="7">
        <v>0</v>
      </c>
      <c r="G20" s="15"/>
      <c r="H20" s="17"/>
      <c r="I20" s="17"/>
      <c r="J20" s="17"/>
      <c r="K20" s="17"/>
      <c r="L20" s="17"/>
    </row>
    <row r="21" spans="1:12" x14ac:dyDescent="0.15">
      <c r="A21" s="7">
        <v>3.8302123921907034</v>
      </c>
      <c r="B21" s="7">
        <v>52.222267238464653</v>
      </c>
      <c r="C21" s="7">
        <v>19.281413576164002</v>
      </c>
      <c r="D21" s="7">
        <v>2.3234190019995293</v>
      </c>
      <c r="E21" s="7">
        <v>0</v>
      </c>
    </row>
    <row r="22" spans="1:12" x14ac:dyDescent="0.15">
      <c r="A22" s="7">
        <v>5.2450801442618484</v>
      </c>
      <c r="B22" s="7">
        <v>34.919497944324128</v>
      </c>
      <c r="C22" s="7">
        <v>35.403110791486895</v>
      </c>
      <c r="D22" s="7">
        <v>0</v>
      </c>
      <c r="E22" s="7">
        <v>0</v>
      </c>
    </row>
    <row r="23" spans="1:12" x14ac:dyDescent="0.15">
      <c r="A23" s="7">
        <v>1.7109116967704596</v>
      </c>
      <c r="B23" s="7">
        <v>12.135782596070451</v>
      </c>
      <c r="C23" s="8">
        <v>4.8107031480768505</v>
      </c>
      <c r="D23" s="7">
        <v>3.3767408487507584</v>
      </c>
      <c r="E23" s="7">
        <v>3.0962504402322743E-2</v>
      </c>
    </row>
    <row r="24" spans="1:12" x14ac:dyDescent="0.15">
      <c r="A24" s="7">
        <v>2.0009128999090451</v>
      </c>
      <c r="B24" s="7">
        <v>15.98195000560824</v>
      </c>
      <c r="C24" s="8">
        <v>9.4194877146998106</v>
      </c>
      <c r="D24" s="8">
        <v>0.30061634188965464</v>
      </c>
      <c r="E24" s="8">
        <v>0</v>
      </c>
      <c r="F24" s="1"/>
    </row>
    <row r="25" spans="1:12" x14ac:dyDescent="0.15">
      <c r="A25" s="7">
        <v>3.5588394813739694</v>
      </c>
      <c r="B25" s="7">
        <v>23.737666818748245</v>
      </c>
      <c r="C25" s="8">
        <v>23.913023732059919</v>
      </c>
      <c r="D25" s="7">
        <v>0</v>
      </c>
      <c r="E25" s="7">
        <v>0</v>
      </c>
    </row>
    <row r="26" spans="1:12" x14ac:dyDescent="0.15">
      <c r="A26" s="7">
        <v>4.4858724322811732</v>
      </c>
      <c r="B26" s="7">
        <v>43.234199445628136</v>
      </c>
      <c r="C26" s="7">
        <v>9.1903820986038873</v>
      </c>
      <c r="D26" s="7">
        <v>3.3429136905693211</v>
      </c>
      <c r="E26" s="7">
        <v>0</v>
      </c>
    </row>
    <row r="27" spans="1:12" x14ac:dyDescent="0.15">
      <c r="A27" s="7">
        <v>3.554416281336958</v>
      </c>
      <c r="B27" s="7">
        <v>15.094693703131835</v>
      </c>
      <c r="C27" s="8">
        <v>22.018722789805128</v>
      </c>
      <c r="D27" s="7">
        <v>8.4710472344119747</v>
      </c>
      <c r="E27" s="7">
        <v>0</v>
      </c>
    </row>
    <row r="28" spans="1:12" x14ac:dyDescent="0.15">
      <c r="A28" s="7">
        <v>3.6163523562956903</v>
      </c>
      <c r="B28" s="7">
        <v>26.23718687358258</v>
      </c>
      <c r="C28" s="8">
        <v>6.4439618548042148</v>
      </c>
      <c r="D28" s="7">
        <v>0.32530387319329179</v>
      </c>
      <c r="E28" s="7">
        <v>1.0488292505999215</v>
      </c>
    </row>
    <row r="29" spans="1:12" x14ac:dyDescent="0.15">
      <c r="A29" s="7">
        <v>3.8937810458223425</v>
      </c>
      <c r="B29" s="7">
        <v>21.803144104689711</v>
      </c>
      <c r="C29" s="8">
        <v>17.222730199726005</v>
      </c>
      <c r="D29" s="7">
        <v>10.207704006173666</v>
      </c>
      <c r="E29" s="7">
        <v>1.8049732976636579E-3</v>
      </c>
    </row>
    <row r="30" spans="1:12" x14ac:dyDescent="0.15">
      <c r="A30" s="7">
        <v>2.7584071352809567</v>
      </c>
      <c r="B30" s="7">
        <v>13.461150526858763</v>
      </c>
      <c r="C30" s="8">
        <v>14.317853555554526</v>
      </c>
      <c r="D30" s="7">
        <v>46.914270259819496</v>
      </c>
      <c r="E30" s="7">
        <v>5.170628266686033E-2</v>
      </c>
    </row>
    <row r="31" spans="1:12" x14ac:dyDescent="0.15">
      <c r="A31" s="7">
        <v>4.1642215269859015</v>
      </c>
      <c r="B31" s="7">
        <v>31.987562678300371</v>
      </c>
      <c r="C31" s="8">
        <v>24.282680710028146</v>
      </c>
      <c r="D31" s="7">
        <v>0.55954377861616866</v>
      </c>
      <c r="E31" s="7">
        <v>0.1273197598559169</v>
      </c>
    </row>
    <row r="32" spans="1:12" x14ac:dyDescent="0.15">
      <c r="A32" s="7">
        <v>4.2326838341452362</v>
      </c>
      <c r="B32" s="7">
        <v>38.118133869906679</v>
      </c>
      <c r="C32" s="7">
        <v>15.948585760852145</v>
      </c>
      <c r="D32" s="7">
        <v>0.47439858004932273</v>
      </c>
      <c r="E32" s="7">
        <v>0.17860389182567749</v>
      </c>
    </row>
    <row r="33" spans="1:5" x14ac:dyDescent="0.15">
      <c r="A33" s="7">
        <v>4.8638223056697019</v>
      </c>
      <c r="B33" s="7">
        <v>65.529330194177874</v>
      </c>
      <c r="C33" s="7">
        <v>29.629313959037521</v>
      </c>
      <c r="D33" s="7">
        <v>6.13365204669722</v>
      </c>
      <c r="E33" s="7">
        <v>0</v>
      </c>
    </row>
    <row r="34" spans="1:5" x14ac:dyDescent="0.15">
      <c r="A34" s="7">
        <v>6.816044696710077</v>
      </c>
      <c r="B34" s="7">
        <v>15.211555393765071</v>
      </c>
      <c r="C34" s="7">
        <v>17.04162159375154</v>
      </c>
      <c r="D34" s="7">
        <v>25.900047959276442</v>
      </c>
      <c r="E34" s="7">
        <v>3.7651418687136208E-2</v>
      </c>
    </row>
    <row r="35" spans="1:5" x14ac:dyDescent="0.15">
      <c r="A35" s="7">
        <v>4.0336542965103135</v>
      </c>
      <c r="B35" s="7">
        <v>34.241116557450141</v>
      </c>
      <c r="C35" s="7">
        <v>11.842474058598521</v>
      </c>
      <c r="D35" s="7">
        <v>9.4185012762939664</v>
      </c>
      <c r="E35" s="7">
        <v>1.9774412406155528E-2</v>
      </c>
    </row>
    <row r="36" spans="1:5" x14ac:dyDescent="0.15">
      <c r="A36" s="7">
        <v>3.7290027282634464</v>
      </c>
      <c r="B36" s="7">
        <v>28.264254275274993</v>
      </c>
      <c r="C36" s="7">
        <v>14.75123998855419</v>
      </c>
      <c r="D36" s="7">
        <v>28.370673899944336</v>
      </c>
      <c r="E36" s="7">
        <v>9.6157650416206532E-3</v>
      </c>
    </row>
    <row r="37" spans="1:5" x14ac:dyDescent="0.15">
      <c r="A37" s="7">
        <v>6.2684185253045728</v>
      </c>
      <c r="B37" s="7">
        <v>50.760785153137448</v>
      </c>
      <c r="C37" s="7">
        <v>8.6073624559084863</v>
      </c>
      <c r="D37" s="7">
        <v>1.1297291739947848</v>
      </c>
      <c r="E37" s="7">
        <v>0</v>
      </c>
    </row>
    <row r="38" spans="1:5" x14ac:dyDescent="0.15">
      <c r="A38" s="7">
        <v>6.5830394802280647</v>
      </c>
      <c r="B38" s="7">
        <v>65.706030260835931</v>
      </c>
      <c r="C38" s="7">
        <v>27.305514787502364</v>
      </c>
      <c r="D38" s="7">
        <v>0</v>
      </c>
      <c r="E38" s="7">
        <v>0</v>
      </c>
    </row>
    <row r="39" spans="1:5" x14ac:dyDescent="0.15">
      <c r="A39" s="7">
        <v>5.2638763729089257</v>
      </c>
      <c r="B39" s="7">
        <v>61.181632460005922</v>
      </c>
      <c r="C39" s="7">
        <v>35.696210137613512</v>
      </c>
      <c r="D39" s="7">
        <v>47.186146102677718</v>
      </c>
      <c r="E39" s="7">
        <v>0.10589561394843867</v>
      </c>
    </row>
    <row r="40" spans="1:5" x14ac:dyDescent="0.15">
      <c r="A40" s="7">
        <v>9.0446090843196618</v>
      </c>
      <c r="B40" s="7">
        <v>23.702908231099208</v>
      </c>
      <c r="C40" s="7">
        <v>10.829203721293402</v>
      </c>
      <c r="D40" s="7">
        <v>44.438764844303357</v>
      </c>
      <c r="E40" s="7">
        <v>0</v>
      </c>
    </row>
    <row r="41" spans="1:5" x14ac:dyDescent="0.15">
      <c r="A41" s="7">
        <v>7.4095788984717572</v>
      </c>
      <c r="B41" s="7">
        <v>20.22039733822108</v>
      </c>
      <c r="C41" s="7">
        <v>5.8311879032858673</v>
      </c>
      <c r="D41" s="7">
        <v>0.81306795524561526</v>
      </c>
      <c r="E41" s="7">
        <v>0.60158557828408132</v>
      </c>
    </row>
    <row r="42" spans="1:5" x14ac:dyDescent="0.15">
      <c r="A42" s="7">
        <v>4.9558668592481654</v>
      </c>
      <c r="B42" s="7">
        <v>32.997781681480625</v>
      </c>
      <c r="C42" s="7">
        <v>32.137894136997886</v>
      </c>
      <c r="D42" s="7">
        <v>6.3175008246836049</v>
      </c>
      <c r="E42" s="7">
        <v>0</v>
      </c>
    </row>
    <row r="43" spans="1:5" x14ac:dyDescent="0.15">
      <c r="A43" s="7">
        <v>3.4043130960325159</v>
      </c>
      <c r="B43" s="7">
        <v>20.154027427408213</v>
      </c>
      <c r="C43" s="7">
        <v>7.7158893490754865</v>
      </c>
      <c r="D43" s="7">
        <v>0.16819518038586617</v>
      </c>
      <c r="E43" s="7">
        <v>0</v>
      </c>
    </row>
    <row r="44" spans="1:5" x14ac:dyDescent="0.15">
      <c r="A44" s="7">
        <v>3.5062753907667754</v>
      </c>
      <c r="B44" s="7">
        <v>17.982762184065329</v>
      </c>
      <c r="C44" s="7">
        <v>29.304812637629922</v>
      </c>
      <c r="D44" s="7">
        <v>22.072195510973259</v>
      </c>
      <c r="E44" s="7">
        <v>0</v>
      </c>
    </row>
    <row r="45" spans="1:5" x14ac:dyDescent="0.15">
      <c r="A45" s="7">
        <v>7.5827430862654825</v>
      </c>
      <c r="B45" s="7">
        <v>44.742417754828246</v>
      </c>
      <c r="C45" s="7">
        <v>29.186470302757495</v>
      </c>
      <c r="D45" s="7">
        <v>0</v>
      </c>
      <c r="E45" s="7">
        <v>0.94672528567918723</v>
      </c>
    </row>
    <row r="46" spans="1:5" x14ac:dyDescent="0.15">
      <c r="A46" s="7">
        <v>4.6887577735488684</v>
      </c>
      <c r="B46" s="7">
        <v>18.069769101453019</v>
      </c>
      <c r="C46" s="7">
        <v>22.080230961015591</v>
      </c>
      <c r="D46" s="7">
        <v>44.612593589964241</v>
      </c>
      <c r="E46" s="7">
        <v>0</v>
      </c>
    </row>
    <row r="47" spans="1:5" x14ac:dyDescent="0.15">
      <c r="A47" s="7">
        <v>1.7921736896976559</v>
      </c>
      <c r="B47" s="7">
        <v>5.6854786261622658</v>
      </c>
      <c r="C47" s="7">
        <v>2.100566821117773</v>
      </c>
      <c r="D47" s="7">
        <v>0</v>
      </c>
      <c r="E47" s="7">
        <v>0</v>
      </c>
    </row>
    <row r="48" spans="1:5" x14ac:dyDescent="0.15">
      <c r="A48" s="7">
        <v>7.4836406366268449</v>
      </c>
      <c r="B48" s="7">
        <v>29.511087190540842</v>
      </c>
      <c r="C48" s="7">
        <v>40.368917856681264</v>
      </c>
      <c r="D48" s="7">
        <v>19.45947127896293</v>
      </c>
      <c r="E48" s="7">
        <v>8.8663654784119555E-2</v>
      </c>
    </row>
    <row r="49" spans="1:5" x14ac:dyDescent="0.15">
      <c r="A49" s="7">
        <v>3.4566199530130794</v>
      </c>
      <c r="B49" s="7">
        <v>26.400388421860221</v>
      </c>
      <c r="C49" s="7">
        <v>4.5058429806245419</v>
      </c>
      <c r="D49" s="7">
        <v>0</v>
      </c>
      <c r="E49" s="7">
        <v>0</v>
      </c>
    </row>
    <row r="50" spans="1:5" x14ac:dyDescent="0.15">
      <c r="A50" s="7">
        <v>2.0856978972045432</v>
      </c>
      <c r="B50" s="7">
        <v>29.80771192666322</v>
      </c>
      <c r="C50" s="7">
        <v>25.660255750410656</v>
      </c>
      <c r="D50" s="7">
        <v>1.5561723354798138</v>
      </c>
      <c r="E50" s="7">
        <v>0</v>
      </c>
    </row>
    <row r="51" spans="1:5" x14ac:dyDescent="0.15">
      <c r="A51" s="7">
        <v>9.5708082801523986</v>
      </c>
      <c r="B51" s="7">
        <v>70.538937176665314</v>
      </c>
      <c r="C51" s="7">
        <v>30.6162303711837</v>
      </c>
      <c r="D51" s="7">
        <v>8.0563950634720722</v>
      </c>
      <c r="E51" s="7">
        <v>0</v>
      </c>
    </row>
    <row r="52" spans="1:5" x14ac:dyDescent="0.15">
      <c r="A52" s="7">
        <v>2.9238355690466862</v>
      </c>
      <c r="B52" s="7">
        <v>21.068135822917533</v>
      </c>
      <c r="C52" s="7">
        <v>9.0587288034491689</v>
      </c>
      <c r="D52" s="7">
        <v>1.6872695214420432</v>
      </c>
      <c r="E52" s="7">
        <v>0</v>
      </c>
    </row>
    <row r="53" spans="1:5" x14ac:dyDescent="0.15">
      <c r="A53" s="7">
        <v>6.082396569922973</v>
      </c>
      <c r="B53" s="7">
        <v>42.995256218406247</v>
      </c>
      <c r="C53" s="7">
        <v>61.558568786849285</v>
      </c>
      <c r="D53" s="7">
        <v>0</v>
      </c>
      <c r="E53" s="7">
        <v>0</v>
      </c>
    </row>
    <row r="54" spans="1:5" x14ac:dyDescent="0.15">
      <c r="A54" s="7">
        <v>3.8864471639794518</v>
      </c>
      <c r="B54" s="7">
        <v>51.542344920881639</v>
      </c>
      <c r="C54" s="7">
        <v>31.542359957925861</v>
      </c>
      <c r="D54" s="7">
        <v>2.5130606093300525</v>
      </c>
      <c r="E54" s="7">
        <v>0.9406103522607131</v>
      </c>
    </row>
    <row r="55" spans="1:5" x14ac:dyDescent="0.15">
      <c r="A55" s="7">
        <v>3.4488194061536848</v>
      </c>
      <c r="B55" s="7">
        <v>37.629491911343706</v>
      </c>
      <c r="C55" s="7">
        <v>7.7604804017199243</v>
      </c>
      <c r="D55" s="7">
        <v>0</v>
      </c>
      <c r="E55" s="7">
        <v>0</v>
      </c>
    </row>
    <row r="56" spans="1:5" x14ac:dyDescent="0.15">
      <c r="A56" s="7">
        <v>7.7607909643786321</v>
      </c>
      <c r="B56" s="7">
        <v>47.689750767621298</v>
      </c>
      <c r="C56" s="7">
        <v>29.825041185041648</v>
      </c>
      <c r="D56" s="7">
        <v>6.5700435603013103</v>
      </c>
      <c r="E56" s="7">
        <v>1.4781697802983504E-2</v>
      </c>
    </row>
    <row r="57" spans="1:5" x14ac:dyDescent="0.15">
      <c r="A57" s="7">
        <v>6.4219834837002887</v>
      </c>
      <c r="B57" s="7">
        <v>45.406311736798628</v>
      </c>
      <c r="C57" s="7">
        <v>41.150978779783465</v>
      </c>
      <c r="D57" s="7">
        <v>2.9212913714430431</v>
      </c>
      <c r="E57" s="7">
        <v>0</v>
      </c>
    </row>
    <row r="58" spans="1:5" x14ac:dyDescent="0.15">
      <c r="A58" s="7">
        <v>4.5136246102650492</v>
      </c>
      <c r="B58" s="7">
        <v>18.582030577338614</v>
      </c>
      <c r="C58" s="7">
        <v>25.369849975485344</v>
      </c>
      <c r="D58" s="7">
        <v>4.9808033767354623</v>
      </c>
      <c r="E58" s="7">
        <v>0</v>
      </c>
    </row>
    <row r="59" spans="1:5" x14ac:dyDescent="0.15">
      <c r="A59" s="7">
        <v>6.1462113864907471</v>
      </c>
      <c r="B59" s="7">
        <v>22.070825740094126</v>
      </c>
      <c r="C59" s="7">
        <v>15.302114713391326</v>
      </c>
      <c r="D59" s="7">
        <v>0</v>
      </c>
      <c r="E59" s="7">
        <v>0</v>
      </c>
    </row>
    <row r="60" spans="1:5" x14ac:dyDescent="0.15">
      <c r="A60" s="7">
        <v>2.6407408562894132</v>
      </c>
      <c r="B60" s="7">
        <v>13.100556406879102</v>
      </c>
      <c r="C60" s="7">
        <v>13.208989914374431</v>
      </c>
      <c r="D60" s="7">
        <v>48.897357003018762</v>
      </c>
      <c r="E60" s="7">
        <v>0.88386520915022848</v>
      </c>
    </row>
    <row r="61" spans="1:5" x14ac:dyDescent="0.15">
      <c r="A61" s="7">
        <v>6.2230724629792498</v>
      </c>
      <c r="B61" s="7">
        <v>18.561495030238905</v>
      </c>
      <c r="C61" s="7">
        <v>12.338714608553216</v>
      </c>
      <c r="D61" s="7">
        <v>0</v>
      </c>
      <c r="E61" s="7">
        <v>0</v>
      </c>
    </row>
    <row r="62" spans="1:5" x14ac:dyDescent="0.15">
      <c r="A62" s="7">
        <v>2.8203047358884943</v>
      </c>
      <c r="B62" s="7">
        <v>12.458777861500554</v>
      </c>
      <c r="C62" s="7">
        <v>5.0011051549215289</v>
      </c>
      <c r="D62" s="7">
        <v>13.704428694937322</v>
      </c>
      <c r="E62" s="7">
        <v>1.1699446366286384E-2</v>
      </c>
    </row>
    <row r="63" spans="1:5" x14ac:dyDescent="0.15">
      <c r="A63" s="7">
        <v>5.2409771982292543</v>
      </c>
      <c r="B63" s="7">
        <v>37.933097246212455</v>
      </c>
      <c r="C63" s="7">
        <v>7.8762720057636901</v>
      </c>
      <c r="D63" s="7">
        <v>0</v>
      </c>
      <c r="E63" s="7">
        <v>6.4265938800856848E-2</v>
      </c>
    </row>
    <row r="64" spans="1:5" x14ac:dyDescent="0.15">
      <c r="A64" s="7">
        <v>4.1330367938037149</v>
      </c>
      <c r="B64" s="7">
        <v>20.240364264518863</v>
      </c>
      <c r="C64" s="7">
        <v>7.054252633760127</v>
      </c>
      <c r="D64" s="7">
        <v>34.595352327868412</v>
      </c>
      <c r="E64" s="7">
        <v>0</v>
      </c>
    </row>
    <row r="65" spans="1:5" x14ac:dyDescent="0.15">
      <c r="A65" s="7">
        <v>7.9646516286091149</v>
      </c>
      <c r="B65" s="7">
        <v>35.651490856980516</v>
      </c>
      <c r="C65" s="7">
        <v>7.5829726069998475</v>
      </c>
      <c r="D65" s="7">
        <v>0</v>
      </c>
      <c r="E65" s="7">
        <v>3.1473960477854168E-2</v>
      </c>
    </row>
    <row r="66" spans="1:5" x14ac:dyDescent="0.15">
      <c r="A66" s="7">
        <v>6.8369567531768745</v>
      </c>
      <c r="B66" s="7">
        <v>31.625583473337105</v>
      </c>
      <c r="C66" s="7">
        <v>28.2460242895575</v>
      </c>
      <c r="D66" s="7">
        <v>36.160417422761022</v>
      </c>
      <c r="E66" s="7">
        <v>2.8458812166797697E-2</v>
      </c>
    </row>
    <row r="67" spans="1:5" x14ac:dyDescent="0.15">
      <c r="A67" s="7">
        <v>3.3207388297397475</v>
      </c>
      <c r="B67" s="7">
        <v>43.315063630427275</v>
      </c>
      <c r="C67" s="7">
        <v>14.08689887491885</v>
      </c>
      <c r="D67" s="7">
        <v>2.8271583845795356</v>
      </c>
      <c r="E67" s="7">
        <v>0.14987902856600352</v>
      </c>
    </row>
    <row r="68" spans="1:5" x14ac:dyDescent="0.15">
      <c r="A68" s="7">
        <v>5.3600353935258545</v>
      </c>
      <c r="B68" s="7">
        <v>53.617767587901803</v>
      </c>
      <c r="C68" s="7">
        <v>24.193526013074223</v>
      </c>
      <c r="D68" s="7">
        <v>1.9604733490788937</v>
      </c>
      <c r="E68" s="7">
        <v>0.18214645400634949</v>
      </c>
    </row>
    <row r="69" spans="1:5" x14ac:dyDescent="0.15">
      <c r="A69" s="7">
        <v>5.6518091861342503</v>
      </c>
      <c r="B69" s="7">
        <v>10.460552117446451</v>
      </c>
      <c r="C69" s="7">
        <v>6.2049426396943792</v>
      </c>
      <c r="D69" s="7">
        <v>0.82851319162792458</v>
      </c>
      <c r="E69" s="7">
        <v>0.46261253669124963</v>
      </c>
    </row>
    <row r="70" spans="1:5" x14ac:dyDescent="0.15">
      <c r="A70" s="7">
        <v>2.9642307194986319</v>
      </c>
      <c r="B70" s="7">
        <v>17.079687202083253</v>
      </c>
      <c r="C70" s="7">
        <v>13.377271556556877</v>
      </c>
      <c r="D70" s="7">
        <v>0.55288401234910067</v>
      </c>
      <c r="E70" s="7">
        <v>0</v>
      </c>
    </row>
    <row r="71" spans="1:5" x14ac:dyDescent="0.15">
      <c r="A71" s="7">
        <v>2.6803077474396502</v>
      </c>
      <c r="B71" s="7">
        <v>35.209498842390353</v>
      </c>
      <c r="C71" s="7">
        <v>27.67628869453058</v>
      </c>
      <c r="D71" s="7">
        <v>0</v>
      </c>
      <c r="E71" s="7">
        <v>0</v>
      </c>
    </row>
    <row r="72" spans="1:5" x14ac:dyDescent="0.15">
      <c r="A72" s="7">
        <v>4.0845658812392154</v>
      </c>
      <c r="B72" s="7">
        <v>44.747136357948101</v>
      </c>
      <c r="C72" s="7">
        <v>30.316388457350619</v>
      </c>
      <c r="D72" s="7">
        <v>7.1775209219146969</v>
      </c>
      <c r="E72" s="7">
        <v>8.8702524798490778E-2</v>
      </c>
    </row>
    <row r="73" spans="1:5" x14ac:dyDescent="0.15">
      <c r="A73" s="7">
        <v>2.4937637419795982</v>
      </c>
      <c r="B73" s="7">
        <v>13.908697896477895</v>
      </c>
      <c r="C73" s="7">
        <v>5.8562931909973903</v>
      </c>
      <c r="D73" s="7">
        <v>6.8547050083455252</v>
      </c>
      <c r="E73" s="7">
        <v>0</v>
      </c>
    </row>
    <row r="74" spans="1:5" x14ac:dyDescent="0.15">
      <c r="A74" s="7">
        <v>4.4297233333513573</v>
      </c>
      <c r="B74" s="7">
        <v>28.28475184373335</v>
      </c>
      <c r="C74" s="7">
        <v>11.977713164892846</v>
      </c>
      <c r="D74" s="7">
        <v>13.548973797643335</v>
      </c>
      <c r="E74" s="7">
        <v>0.26438460138590031</v>
      </c>
    </row>
    <row r="75" spans="1:5" x14ac:dyDescent="0.15">
      <c r="A75" s="7">
        <v>6.1492801431544537</v>
      </c>
      <c r="B75" s="7">
        <v>49.000720037117006</v>
      </c>
      <c r="C75" s="7">
        <v>42.631989405680997</v>
      </c>
      <c r="D75" s="7">
        <v>60.98499678471822</v>
      </c>
      <c r="E75" s="7">
        <v>0.20504431116274452</v>
      </c>
    </row>
    <row r="76" spans="1:5" x14ac:dyDescent="0.15">
      <c r="A76" s="7">
        <v>4.3603981929164997</v>
      </c>
      <c r="B76" s="7">
        <v>29.490579127069157</v>
      </c>
      <c r="C76" s="7">
        <v>7.8579779506168528</v>
      </c>
      <c r="D76" s="7">
        <v>0</v>
      </c>
      <c r="E76" s="7">
        <v>0.14093016885854417</v>
      </c>
    </row>
    <row r="77" spans="1:5" x14ac:dyDescent="0.15">
      <c r="A77" s="7">
        <v>4.6799493241757455</v>
      </c>
      <c r="B77" s="7">
        <v>54.80949628469601</v>
      </c>
      <c r="C77" s="7">
        <v>40.784592738117411</v>
      </c>
      <c r="D77" s="7">
        <v>2.0363362024785916</v>
      </c>
      <c r="E77" s="7">
        <v>0</v>
      </c>
    </row>
    <row r="78" spans="1:5" x14ac:dyDescent="0.15">
      <c r="A78" s="7">
        <v>3.4645385483828202</v>
      </c>
      <c r="B78" s="7">
        <v>27.923455460886888</v>
      </c>
      <c r="C78" s="7">
        <v>9.5738179528655447</v>
      </c>
      <c r="D78" s="7">
        <v>11.595264268924835</v>
      </c>
      <c r="E78" s="7">
        <v>1.4398011175168823</v>
      </c>
    </row>
    <row r="79" spans="1:5" x14ac:dyDescent="0.15">
      <c r="A79" s="7">
        <v>5.6477629180593549</v>
      </c>
      <c r="B79" s="7">
        <v>15.349720345274026</v>
      </c>
      <c r="C79" s="7">
        <v>10.83049183552605</v>
      </c>
      <c r="D79" s="7">
        <v>0.68210790303883451</v>
      </c>
      <c r="E79" s="7">
        <v>0.81445427377229096</v>
      </c>
    </row>
    <row r="80" spans="1:5" x14ac:dyDescent="0.15">
      <c r="A80" s="7">
        <v>4.0365315467776011</v>
      </c>
      <c r="B80" s="7">
        <v>26.852360180855754</v>
      </c>
      <c r="C80" s="7">
        <v>14.372339616271807</v>
      </c>
      <c r="D80" s="7">
        <v>2.8458750113078111</v>
      </c>
      <c r="E80" s="7">
        <v>0</v>
      </c>
    </row>
    <row r="81" spans="1:5" x14ac:dyDescent="0.15">
      <c r="A81" s="7">
        <v>8.9257878412270077</v>
      </c>
      <c r="B81" s="7">
        <v>46.604299994674442</v>
      </c>
      <c r="C81" s="7">
        <v>19.572377721388982</v>
      </c>
      <c r="D81" s="7">
        <v>0</v>
      </c>
      <c r="E81" s="7">
        <v>0</v>
      </c>
    </row>
    <row r="82" spans="1:5" x14ac:dyDescent="0.15">
      <c r="A82" s="7">
        <v>4.8275609712679612</v>
      </c>
      <c r="B82" s="7">
        <v>15.003888720821774</v>
      </c>
      <c r="C82" s="7">
        <v>20.474726810457263</v>
      </c>
      <c r="D82" s="7">
        <v>0.64603317834887264</v>
      </c>
      <c r="E82" s="7">
        <v>0</v>
      </c>
    </row>
    <row r="83" spans="1:5" x14ac:dyDescent="0.15">
      <c r="A83" s="7">
        <v>4.395512990752021</v>
      </c>
      <c r="B83" s="7">
        <v>31.031409680764149</v>
      </c>
      <c r="C83" s="7">
        <v>29.215783233114433</v>
      </c>
      <c r="D83" s="7">
        <v>0.41260084241748196</v>
      </c>
      <c r="E83" s="7">
        <v>0</v>
      </c>
    </row>
    <row r="84" spans="1:5" x14ac:dyDescent="0.15">
      <c r="A84" s="7">
        <v>3.543711710716178</v>
      </c>
      <c r="B84" s="7">
        <v>29.566704625313026</v>
      </c>
      <c r="C84" s="7">
        <v>29.315569852367979</v>
      </c>
      <c r="D84" s="7">
        <v>0</v>
      </c>
      <c r="E84" s="7">
        <v>0</v>
      </c>
    </row>
    <row r="85" spans="1:5" x14ac:dyDescent="0.15">
      <c r="A85" s="7">
        <v>3.0813787285432381</v>
      </c>
      <c r="B85" s="7">
        <v>23.402642643155332</v>
      </c>
      <c r="C85" s="7">
        <v>28.99304738708042</v>
      </c>
      <c r="D85" s="7">
        <v>3.0576375230649546</v>
      </c>
      <c r="E85" s="7">
        <v>0</v>
      </c>
    </row>
    <row r="86" spans="1:5" x14ac:dyDescent="0.15">
      <c r="A86" s="7">
        <v>3.7573267232275773</v>
      </c>
      <c r="B86" s="7">
        <v>29.546250028859895</v>
      </c>
      <c r="C86" s="7">
        <v>30.193273835369801</v>
      </c>
      <c r="D86" s="7">
        <v>5.9454642906583359</v>
      </c>
      <c r="E86" s="7">
        <v>9.8153168047255008E-3</v>
      </c>
    </row>
    <row r="87" spans="1:5" x14ac:dyDescent="0.15">
      <c r="A87" s="7">
        <v>6.8189183549393624</v>
      </c>
      <c r="B87" s="7">
        <v>18.334883802423199</v>
      </c>
      <c r="C87" s="7">
        <v>7.2125883275131564</v>
      </c>
      <c r="D87" s="7">
        <v>0</v>
      </c>
      <c r="E87" s="7">
        <v>0</v>
      </c>
    </row>
    <row r="88" spans="1:5" x14ac:dyDescent="0.15">
      <c r="A88" s="7">
        <v>5.3179085387719063</v>
      </c>
      <c r="B88" s="7">
        <v>51.723077234211097</v>
      </c>
      <c r="C88" s="7">
        <v>13.818904489807053</v>
      </c>
      <c r="D88" s="7">
        <v>4.408802205698092</v>
      </c>
      <c r="E88" s="7">
        <v>0.15535372277025311</v>
      </c>
    </row>
    <row r="89" spans="1:5" x14ac:dyDescent="0.15">
      <c r="A89" s="7">
        <v>3.181882736298248</v>
      </c>
      <c r="B89" s="7">
        <v>13.567619516028154</v>
      </c>
      <c r="C89" s="7">
        <v>8.817087081800187</v>
      </c>
      <c r="D89" s="7">
        <v>10.174675718161193</v>
      </c>
      <c r="E89" s="7">
        <v>0.30497328909948945</v>
      </c>
    </row>
    <row r="90" spans="1:5" x14ac:dyDescent="0.15">
      <c r="A90" s="7">
        <v>2.6667725530029678</v>
      </c>
      <c r="B90" s="7">
        <v>10.884958488761471</v>
      </c>
      <c r="C90" s="7">
        <v>7.4072879353358747</v>
      </c>
      <c r="D90" s="7">
        <v>76.637229046804322</v>
      </c>
      <c r="E90" s="7">
        <v>0</v>
      </c>
    </row>
    <row r="91" spans="1:5" x14ac:dyDescent="0.15">
      <c r="A91" s="7">
        <v>5.5740966097468023</v>
      </c>
      <c r="B91" s="7">
        <v>10.709773724465263</v>
      </c>
      <c r="C91" s="7">
        <v>3.4046203869415499</v>
      </c>
      <c r="D91" s="7">
        <v>51.829754259599802</v>
      </c>
      <c r="E91" s="7">
        <v>0.56992431494089779</v>
      </c>
    </row>
    <row r="92" spans="1:5" x14ac:dyDescent="0.15">
      <c r="A92" s="7">
        <v>4.1820539087014064</v>
      </c>
      <c r="B92" s="7">
        <v>24.455541855286651</v>
      </c>
      <c r="C92" s="7">
        <v>5.467024073686936</v>
      </c>
      <c r="D92" s="7">
        <v>20.90069432145815</v>
      </c>
      <c r="E92" s="7">
        <v>0</v>
      </c>
    </row>
    <row r="93" spans="1:5" x14ac:dyDescent="0.15">
      <c r="A93" s="7">
        <v>5.2536064787390639</v>
      </c>
      <c r="B93" s="7">
        <v>19.159869134997614</v>
      </c>
      <c r="C93" s="7">
        <v>8.9120140174434876</v>
      </c>
      <c r="D93" s="7">
        <v>0.81168428115114033</v>
      </c>
      <c r="E93" s="7">
        <v>0</v>
      </c>
    </row>
    <row r="94" spans="1:5" x14ac:dyDescent="0.15">
      <c r="A94" s="7">
        <v>3.3331371496607862</v>
      </c>
      <c r="B94" s="7">
        <v>27.886524939325245</v>
      </c>
      <c r="C94" s="7">
        <v>5.8267141994790741</v>
      </c>
      <c r="D94" s="7">
        <v>0</v>
      </c>
      <c r="E94" s="7">
        <v>0</v>
      </c>
    </row>
    <row r="95" spans="1:5" x14ac:dyDescent="0.15">
      <c r="A95" s="7">
        <v>3.8663823511073674</v>
      </c>
      <c r="B95" s="7">
        <v>22.56658438885032</v>
      </c>
      <c r="C95" s="7">
        <v>10.674519484835052</v>
      </c>
      <c r="D95" s="7">
        <v>13.475359305959879</v>
      </c>
      <c r="E95" s="7">
        <v>0</v>
      </c>
    </row>
    <row r="96" spans="1:5" x14ac:dyDescent="0.15">
      <c r="A96" s="7">
        <v>7.043416078952518</v>
      </c>
      <c r="B96" s="7">
        <v>107.84729127413394</v>
      </c>
      <c r="C96" s="7">
        <v>70.521535333037491</v>
      </c>
      <c r="D96" s="7">
        <v>3.1332994597921155</v>
      </c>
      <c r="E96" s="7">
        <v>0</v>
      </c>
    </row>
    <row r="97" spans="1:5" x14ac:dyDescent="0.15">
      <c r="A97" s="7">
        <v>4.078088128211764</v>
      </c>
      <c r="B97" s="7">
        <v>33.086749466777334</v>
      </c>
      <c r="C97" s="7">
        <v>24.360343321994623</v>
      </c>
      <c r="D97" s="7">
        <v>0</v>
      </c>
      <c r="E97" s="7">
        <v>0</v>
      </c>
    </row>
    <row r="98" spans="1:5" x14ac:dyDescent="0.15">
      <c r="A98" s="7">
        <v>2.0190826714490395</v>
      </c>
      <c r="B98" s="7">
        <v>11.338226830232724</v>
      </c>
      <c r="C98" s="7">
        <v>6.223279009304119</v>
      </c>
      <c r="D98" s="7">
        <v>0.93932159280641847</v>
      </c>
      <c r="E98" s="7">
        <v>2.5578218005244679E-2</v>
      </c>
    </row>
    <row r="99" spans="1:5" x14ac:dyDescent="0.15">
      <c r="A99" s="7">
        <v>4.1009746552550386</v>
      </c>
      <c r="B99" s="7">
        <v>32.036748164196958</v>
      </c>
      <c r="C99" s="7">
        <v>12.176343419832989</v>
      </c>
      <c r="D99" s="7">
        <v>0</v>
      </c>
      <c r="E99" s="7">
        <v>2.4700354448017226E-3</v>
      </c>
    </row>
    <row r="100" spans="1:5" x14ac:dyDescent="0.15">
      <c r="A100" s="7">
        <v>3.9281498746114578</v>
      </c>
      <c r="B100" s="7">
        <v>45.843827027200106</v>
      </c>
      <c r="C100" s="7">
        <v>43.895705557790215</v>
      </c>
      <c r="D100" s="7">
        <v>0</v>
      </c>
      <c r="E100" s="7">
        <v>0</v>
      </c>
    </row>
    <row r="101" spans="1:5" x14ac:dyDescent="0.15">
      <c r="A101" s="7">
        <v>4.7379724935939098</v>
      </c>
      <c r="B101" s="7">
        <v>21.377334831907426</v>
      </c>
      <c r="C101" s="7">
        <v>15.017996669192033</v>
      </c>
      <c r="D101" s="7">
        <v>0</v>
      </c>
      <c r="E101" s="7">
        <v>9.8250993014440072E-3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ClinicSim">
                <anchor moveWithCells="1" sizeWithCells="1">
                  <from>
                    <xdr:col>12</xdr:col>
                    <xdr:colOff>330200</xdr:colOff>
                    <xdr:row>1</xdr:row>
                    <xdr:rowOff>0</xdr:rowOff>
                  </from>
                  <to>
                    <xdr:col>16</xdr:col>
                    <xdr:colOff>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FTI2</vt:lpstr>
    </vt:vector>
  </TitlesOfParts>
  <Company>Northwestern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Barry Nelson</dc:creator>
  <cp:lastModifiedBy>Srivastava, Ashutosh</cp:lastModifiedBy>
  <cp:lastPrinted>2009-12-28T18:37:30Z</cp:lastPrinted>
  <dcterms:created xsi:type="dcterms:W3CDTF">2008-07-17T19:31:30Z</dcterms:created>
  <dcterms:modified xsi:type="dcterms:W3CDTF">2023-11-17T03:51:58Z</dcterms:modified>
</cp:coreProperties>
</file>